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csahu_clemson_edu/Documents/Important/Thesis/VIPR GS/Codes/PyCh_Req_Analysis/ReqCity/ReqCity/user_study/"/>
    </mc:Choice>
  </mc:AlternateContent>
  <xr:revisionPtr revIDLastSave="1100" documentId="8_{6ADC7D45-D6BA-453E-B4FF-B07CB7161199}" xr6:coauthVersionLast="47" xr6:coauthVersionMax="47" xr10:uidLastSave="{35721087-FB31-4EF7-952A-768ABE052DB3}"/>
  <bookViews>
    <workbookView xWindow="-38520" yWindow="-120" windowWidth="38640" windowHeight="21120" xr2:uid="{CEB08D5F-16B3-4617-8D94-34E18AC0D264}"/>
  </bookViews>
  <sheets>
    <sheet name="Results Sheet" sheetId="1" r:id="rId1"/>
    <sheet name="Demographics Sheet" sheetId="2" r:id="rId2"/>
  </sheets>
  <definedNames>
    <definedName name="_xlnm._FilterDatabase" localSheetId="1" hidden="1">'Demographics Sheet'!$A$2:$N$28</definedName>
    <definedName name="_xlnm._FilterDatabase" localSheetId="0" hidden="1">'Results Sheet'!$A$2:$AB$2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" i="1"/>
  <c r="AA31" i="1"/>
  <c r="N31" i="1"/>
  <c r="AA32" i="1" s="1"/>
  <c r="AA30" i="1"/>
  <c r="N30" i="1"/>
  <c r="C34" i="1"/>
  <c r="D34" i="1"/>
  <c r="E34" i="1"/>
  <c r="F34" i="1"/>
  <c r="G34" i="1"/>
  <c r="P34" i="1"/>
  <c r="Q34" i="1"/>
  <c r="R34" i="1"/>
  <c r="S34" i="1"/>
  <c r="T34" i="1"/>
  <c r="U34" i="1"/>
  <c r="V34" i="1"/>
  <c r="W34" i="1"/>
  <c r="X34" i="1"/>
  <c r="Y34" i="1"/>
  <c r="I34" i="1"/>
  <c r="J34" i="1"/>
  <c r="K34" i="1"/>
  <c r="L34" i="1"/>
  <c r="H34" i="1"/>
  <c r="Z35" i="1" l="1"/>
  <c r="M35" i="1"/>
  <c r="Z38" i="1" s="1"/>
  <c r="T36" i="1"/>
  <c r="S36" i="1"/>
  <c r="R36" i="1"/>
  <c r="Q36" i="1"/>
  <c r="P36" i="1"/>
  <c r="Y36" i="1"/>
  <c r="X36" i="1"/>
  <c r="W36" i="1"/>
  <c r="V36" i="1"/>
  <c r="U36" i="1"/>
</calcChain>
</file>

<file path=xl/sharedStrings.xml><?xml version="1.0" encoding="utf-8"?>
<sst xmlns="http://schemas.openxmlformats.org/spreadsheetml/2006/main" count="380" uniqueCount="83">
  <si>
    <t>Participant 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</si>
  <si>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</si>
  <si>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</si>
  <si>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</si>
  <si>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</si>
  <si>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</si>
  <si>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</si>
  <si>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</si>
  <si>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</si>
  <si>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</si>
  <si>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</si>
  <si>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ID</t>
  </si>
  <si>
    <t>Education</t>
  </si>
  <si>
    <t xml:space="preserve">Graduate Student </t>
  </si>
  <si>
    <t>Work Experience</t>
  </si>
  <si>
    <t>Domain</t>
  </si>
  <si>
    <t>Software Engineering</t>
  </si>
  <si>
    <t>Control Systems Engineering</t>
  </si>
  <si>
    <t>Tech Support</t>
  </si>
  <si>
    <t>Driving Systems Engineering</t>
  </si>
  <si>
    <t>Robotics Design</t>
  </si>
  <si>
    <t>Engineering</t>
  </si>
  <si>
    <t>Controls/Automation</t>
  </si>
  <si>
    <t>Product Design</t>
  </si>
  <si>
    <t>Manufacturing</t>
  </si>
  <si>
    <t>Design Engineer</t>
  </si>
  <si>
    <t>Vehicle Dynamics Engineer</t>
  </si>
  <si>
    <t>QA Engineer</t>
  </si>
  <si>
    <t>Category</t>
  </si>
  <si>
    <t>IT/Software</t>
  </si>
  <si>
    <t>Systems &amp; Software</t>
  </si>
  <si>
    <t>Design &amp; Manufacturing</t>
  </si>
  <si>
    <t>No Work Experience</t>
  </si>
  <si>
    <t>General Engineering</t>
  </si>
  <si>
    <t>Participant Name</t>
  </si>
  <si>
    <t>Anubhav Rane</t>
  </si>
  <si>
    <t>Thibaut Tignee</t>
  </si>
  <si>
    <t>Abdalrazeq Abu Al Kas</t>
  </si>
  <si>
    <t>Mrudula Joshi</t>
  </si>
  <si>
    <t>Premkumar Naikar</t>
  </si>
  <si>
    <t>Samuel Brayel Dsilva</t>
  </si>
  <si>
    <t>James McGlynn</t>
  </si>
  <si>
    <t>Pranav Sanjay Nair</t>
  </si>
  <si>
    <t>Abhay Harinarayanan</t>
  </si>
  <si>
    <t>Troy Simm</t>
  </si>
  <si>
    <t>Sai Ganesh P</t>
  </si>
  <si>
    <t>Harsh Manghnani</t>
  </si>
  <si>
    <t>Thomas Beaver</t>
  </si>
  <si>
    <t>Nabil Kamal</t>
  </si>
  <si>
    <t>Sean Eoon</t>
  </si>
  <si>
    <t>Deepak Srinivasan Sathiyanarayanan</t>
  </si>
  <si>
    <t>Nishanth Krishna Raju</t>
  </si>
  <si>
    <t>Rohil Dindukurthy</t>
  </si>
  <si>
    <t>Amogh Sahasrabuddhe</t>
  </si>
  <si>
    <t>Mohnish Pillai</t>
  </si>
  <si>
    <t>Girish Atul Pawar</t>
  </si>
  <si>
    <t>Parth Bipin Adhav</t>
  </si>
  <si>
    <t>Ojas Acharya</t>
  </si>
  <si>
    <t>Kaustubh Sanjay More</t>
  </si>
  <si>
    <t>Akshay Bhujanga Shetty</t>
  </si>
  <si>
    <t>Harshil Mineshkumar Shethna</t>
  </si>
  <si>
    <t>Total Time</t>
  </si>
  <si>
    <t>Average time</t>
  </si>
  <si>
    <t>Time saving (%)</t>
  </si>
  <si>
    <t>Fraction of Correct Responses</t>
  </si>
  <si>
    <t>Comparison of performance (ReqCity - ExcelGraph)</t>
  </si>
  <si>
    <t>Excel + Graph</t>
  </si>
  <si>
    <t>ReqCity</t>
  </si>
  <si>
    <t>Time taken</t>
  </si>
  <si>
    <t>Total Score</t>
  </si>
  <si>
    <t>Average Score</t>
  </si>
  <si>
    <t>Difference in average (%)</t>
  </si>
  <si>
    <t>Yes</t>
  </si>
  <si>
    <t>No</t>
  </si>
  <si>
    <t>Familiarity with</t>
  </si>
  <si>
    <t>ISO/IEC/IEEE 29148:2018</t>
  </si>
  <si>
    <t>Requirements Writing</t>
  </si>
  <si>
    <t>Requirement Verification</t>
  </si>
  <si>
    <t>Excel</t>
  </si>
  <si>
    <t>Graph-based tools</t>
  </si>
  <si>
    <t>Professional Syestems Engineering Practice</t>
  </si>
  <si>
    <t>Professional Requirement Engineering Practice</t>
  </si>
  <si>
    <t>CityScape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</si>
</sst>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2" fontId="0" fillId="0" borderId="0" xfId="0" applyNumberFormat="1"/>
    <xf numFmtId="0" fontId="0" fillId="34" borderId="0" xfId="0" applyFill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2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0" borderId="17" xfId="0" applyNumberFormat="1" applyBorder="1"/>
    <xf numFmtId="0" fontId="0" fillId="0" borderId="17" xfId="0" applyBorder="1"/>
    <xf numFmtId="0" fontId="0" fillId="0" borderId="0" xfId="0" applyAlignment="1">
      <alignment horizontal="center" wrapText="1"/>
    </xf>
    <xf numFmtId="0" fontId="0" fillId="36" borderId="10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Performance with</a:t>
            </a:r>
            <a:r>
              <a:rPr lang="en-US" baseline="0"/>
              <a:t> each question</a:t>
            </a:r>
            <a:endParaRPr lang="en-US"/>
          </a:p>
        </c:rich>
      </c:tx>
      <c:layout>
        <c:manualLayout>
          <c:xMode val="edge"/>
          <c:yMode val="edge"/>
          <c:x val="0.22254892502510126"/>
          <c:y val="0.12007889945658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Excel+Graph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Sheet'!$C$2:$L$2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'Results Sheet'!$C$34:$L$34</c:f>
              <c:numCache>
                <c:formatCode>General</c:formatCode>
                <c:ptCount val="10"/>
                <c:pt idx="0">
                  <c:v>0.88461538461538458</c:v>
                </c:pt>
                <c:pt idx="1">
                  <c:v>0.76923076923076927</c:v>
                </c:pt>
                <c:pt idx="2">
                  <c:v>0.82692307692307687</c:v>
                </c:pt>
                <c:pt idx="3">
                  <c:v>0.84615384615384615</c:v>
                </c:pt>
                <c:pt idx="4">
                  <c:v>0.53846153846153844</c:v>
                </c:pt>
                <c:pt idx="5">
                  <c:v>0.72692307692307712</c:v>
                </c:pt>
                <c:pt idx="6">
                  <c:v>0.80769230769230771</c:v>
                </c:pt>
                <c:pt idx="7">
                  <c:v>0.70961538461538454</c:v>
                </c:pt>
                <c:pt idx="8">
                  <c:v>0.96153846153846156</c:v>
                </c:pt>
                <c:pt idx="9">
                  <c:v>0.80769230769230771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C-42F0-80BE-6BBC1A74196B}"/>
            </c:ext>
          </c:extLst>
        </c:ser>
        <c:ser>
          <c:idx val="1"/>
          <c:order val="1"/>
          <c:tx>
            <c:v>ReqCity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'Results Sheet'!$C$2:$L$2</c:f>
              <c:strCache>
                <c:ptCount val="10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</c:strCache>
            </c:strRef>
          </c:cat>
          <c:val>
            <c:numRef>
              <c:f>'Results Sheet'!$P$34:$Y$34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0.92307692307692313</c:v>
                </c:pt>
                <c:pt idx="3">
                  <c:v>0.88461538461538458</c:v>
                </c:pt>
                <c:pt idx="4">
                  <c:v>0.61538461538461542</c:v>
                </c:pt>
                <c:pt idx="5">
                  <c:v>0.7153846153846154</c:v>
                </c:pt>
                <c:pt idx="6">
                  <c:v>0.84615384615384615</c:v>
                </c:pt>
                <c:pt idx="7">
                  <c:v>0.73076923076923073</c:v>
                </c:pt>
                <c:pt idx="8">
                  <c:v>1</c:v>
                </c:pt>
                <c:pt idx="9">
                  <c:v>0.94615384615384623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C-42F0-80BE-6BBC1A741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058175"/>
        <c:axId val="523050975"/>
      </c:barChart>
      <c:catAx>
        <c:axId val="52305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Questions for the user study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50975"/>
        <c:crosses val="autoZero"/>
        <c:auto val="1"/>
        <c:lblAlgn val="ctr"/>
        <c:lblOffset val="100"/>
        <c:noMultiLvlLbl val="0"/>
      </c:catAx>
      <c:valAx>
        <c:axId val="5230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</a:t>
                </a:r>
                <a:r>
                  <a:rPr lang="en-US" baseline="0"/>
                  <a:t> of Correct Responses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5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732733762823053"/>
          <c:y val="0.21928526080174773"/>
          <c:w val="0.25510139728896175"/>
          <c:h val="5.9598400319913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453838</xdr:colOff>
      <xdr:row>39</xdr:row>
      <xdr:rowOff>57149</xdr:rowOff>
    </xdr:from>
    <xdr:to>
      <xdr:col>22</xdr:col>
      <xdr:colOff>179295</xdr:colOff>
      <xdr:row>58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39338-5330-92AE-F2F3-DDEA093C0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F578-E0A8-479F-A11C-D0E3104E40AE}">
  <dimension ref="A1:AA38"/>
  <sheetViews>
    <sheetView tabSelected="1" zoomScale="85" zoomScaleNormal="85" workbookViewId="0">
      <selection activeCell="AG33" sqref="AG33"/>
    </sheetView>
  </sheetViews>
  <sheetFormatPr defaultRowHeight="15" x14ac:dyDescent="0.25"/>
  <cols>
    <col min="1" max="1" width="11.5703125" customWidth="1"/>
    <col min="2" max="2" width="23.5703125" customWidth="1"/>
    <col min="13" max="13" width="10.7109375" bestFit="1" customWidth="1"/>
    <col min="14" max="14" width="10.5703125" bestFit="1" customWidth="1"/>
    <col min="15" max="15" width="3.140625" customWidth="1"/>
    <col min="26" max="26" width="10.7109375" bestFit="1" customWidth="1"/>
    <col min="27" max="27" width="12.28515625" bestFit="1" customWidth="1"/>
  </cols>
  <sheetData>
    <row r="1" spans="1:27" x14ac:dyDescent="0.25">
      <c r="C1" s="15" t="s">
        <v>66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P1" s="18" t="s">
        <v>67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20"/>
    </row>
    <row r="2" spans="1:27" x14ac:dyDescent="0.25">
      <c r="A2" t="s">
        <v>0</v>
      </c>
      <c r="B2" t="s">
        <v>34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69</v>
      </c>
      <c r="N2" s="6" t="s">
        <v>68</v>
      </c>
      <c r="P2" s="4" t="s">
        <v>1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69</v>
      </c>
      <c r="AA2" s="6" t="s">
        <v>68</v>
      </c>
    </row>
    <row r="3" spans="1:27" x14ac:dyDescent="0.25">
      <c r="A3">
        <v>1</v>
      </c>
      <c r="B3" t="s">
        <v>35</v>
      </c>
      <c r="C3" s="7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f t="shared" ref="M3:M28" si="0">SUM(C3:L3)</f>
        <v>9</v>
      </c>
      <c r="N3" s="8">
        <v>58.17</v>
      </c>
      <c r="P3" s="7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f>SUM(P3:Y3)</f>
        <v>10</v>
      </c>
      <c r="AA3" s="9">
        <v>52.06</v>
      </c>
    </row>
    <row r="4" spans="1:27" x14ac:dyDescent="0.25">
      <c r="A4">
        <v>2</v>
      </c>
      <c r="B4" t="s">
        <v>36</v>
      </c>
      <c r="C4" s="7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0.5</v>
      </c>
      <c r="K4">
        <v>1</v>
      </c>
      <c r="L4">
        <v>1</v>
      </c>
      <c r="M4">
        <f t="shared" si="0"/>
        <v>8.5</v>
      </c>
      <c r="N4" s="8">
        <v>36.229999999999997</v>
      </c>
      <c r="P4" s="7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1</v>
      </c>
      <c r="X4">
        <v>1</v>
      </c>
      <c r="Y4">
        <v>1</v>
      </c>
      <c r="Z4">
        <f t="shared" ref="Z4:Z28" si="1">SUM(P4:Y4)</f>
        <v>9</v>
      </c>
      <c r="AA4" s="9">
        <v>27.4</v>
      </c>
    </row>
    <row r="5" spans="1:27" x14ac:dyDescent="0.25">
      <c r="A5">
        <v>3</v>
      </c>
      <c r="B5" t="s">
        <v>37</v>
      </c>
      <c r="C5" s="7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0.5</v>
      </c>
      <c r="K5">
        <v>1</v>
      </c>
      <c r="L5">
        <v>1</v>
      </c>
      <c r="M5">
        <f t="shared" si="0"/>
        <v>9.5</v>
      </c>
      <c r="N5" s="8">
        <v>40.380000000000003</v>
      </c>
      <c r="P5" s="7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0.5</v>
      </c>
      <c r="X5">
        <v>1</v>
      </c>
      <c r="Y5">
        <v>1</v>
      </c>
      <c r="Z5">
        <f t="shared" si="1"/>
        <v>9.5</v>
      </c>
      <c r="AA5" s="9">
        <v>26.49</v>
      </c>
    </row>
    <row r="6" spans="1:27" x14ac:dyDescent="0.25">
      <c r="A6">
        <v>4</v>
      </c>
      <c r="B6" t="s">
        <v>38</v>
      </c>
      <c r="C6" s="7">
        <v>1</v>
      </c>
      <c r="D6">
        <v>1</v>
      </c>
      <c r="E6">
        <v>0.5</v>
      </c>
      <c r="F6">
        <v>1</v>
      </c>
      <c r="G6">
        <v>1</v>
      </c>
      <c r="H6">
        <v>1</v>
      </c>
      <c r="I6">
        <v>0.5</v>
      </c>
      <c r="J6">
        <v>1</v>
      </c>
      <c r="K6">
        <v>1</v>
      </c>
      <c r="L6">
        <v>1</v>
      </c>
      <c r="M6">
        <f t="shared" si="0"/>
        <v>9</v>
      </c>
      <c r="N6" s="8">
        <v>43.52</v>
      </c>
      <c r="P6" s="7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f t="shared" si="1"/>
        <v>9</v>
      </c>
      <c r="AA6" s="9">
        <v>44.46</v>
      </c>
    </row>
    <row r="7" spans="1:27" x14ac:dyDescent="0.25">
      <c r="A7">
        <v>5</v>
      </c>
      <c r="B7" t="s">
        <v>39</v>
      </c>
      <c r="C7" s="7">
        <v>1</v>
      </c>
      <c r="D7">
        <v>1</v>
      </c>
      <c r="E7">
        <v>0.5</v>
      </c>
      <c r="F7">
        <v>0</v>
      </c>
      <c r="G7">
        <v>1</v>
      </c>
      <c r="H7">
        <v>0.5</v>
      </c>
      <c r="I7">
        <v>0.5</v>
      </c>
      <c r="J7">
        <v>1</v>
      </c>
      <c r="K7">
        <v>1</v>
      </c>
      <c r="L7">
        <v>1</v>
      </c>
      <c r="M7">
        <f t="shared" si="0"/>
        <v>7.5</v>
      </c>
      <c r="N7" s="8">
        <v>66.31</v>
      </c>
      <c r="P7" s="7">
        <v>1</v>
      </c>
      <c r="Q7">
        <v>1</v>
      </c>
      <c r="R7">
        <v>1</v>
      </c>
      <c r="S7">
        <v>0</v>
      </c>
      <c r="T7">
        <v>0</v>
      </c>
      <c r="U7">
        <v>0.5</v>
      </c>
      <c r="V7">
        <v>1</v>
      </c>
      <c r="W7">
        <v>1</v>
      </c>
      <c r="X7">
        <v>1</v>
      </c>
      <c r="Y7">
        <v>1</v>
      </c>
      <c r="Z7">
        <f t="shared" si="1"/>
        <v>7.5</v>
      </c>
      <c r="AA7" s="9">
        <v>44.37</v>
      </c>
    </row>
    <row r="8" spans="1:27" x14ac:dyDescent="0.25">
      <c r="A8">
        <v>6</v>
      </c>
      <c r="B8" t="s">
        <v>40</v>
      </c>
      <c r="C8" s="7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f t="shared" si="0"/>
        <v>7</v>
      </c>
      <c r="N8" s="8">
        <v>57.43</v>
      </c>
      <c r="P8" s="7">
        <v>1</v>
      </c>
      <c r="Q8">
        <v>1</v>
      </c>
      <c r="R8">
        <v>0.5</v>
      </c>
      <c r="S8">
        <v>1</v>
      </c>
      <c r="T8">
        <v>1</v>
      </c>
      <c r="U8">
        <v>0.8</v>
      </c>
      <c r="V8">
        <v>1</v>
      </c>
      <c r="W8">
        <v>1</v>
      </c>
      <c r="X8">
        <v>1</v>
      </c>
      <c r="Y8">
        <v>1</v>
      </c>
      <c r="Z8">
        <f t="shared" si="1"/>
        <v>9.3000000000000007</v>
      </c>
      <c r="AA8" s="9">
        <v>50.17</v>
      </c>
    </row>
    <row r="9" spans="1:27" x14ac:dyDescent="0.25">
      <c r="A9">
        <v>7</v>
      </c>
      <c r="B9" t="s">
        <v>41</v>
      </c>
      <c r="C9" s="7">
        <v>1</v>
      </c>
      <c r="D9">
        <v>1</v>
      </c>
      <c r="E9">
        <v>1</v>
      </c>
      <c r="F9">
        <v>1</v>
      </c>
      <c r="G9">
        <v>1</v>
      </c>
      <c r="H9">
        <v>0.8</v>
      </c>
      <c r="I9">
        <v>0.5</v>
      </c>
      <c r="J9">
        <v>1</v>
      </c>
      <c r="K9">
        <v>1</v>
      </c>
      <c r="L9">
        <v>1</v>
      </c>
      <c r="M9">
        <f t="shared" si="0"/>
        <v>9.3000000000000007</v>
      </c>
      <c r="N9" s="8">
        <v>31.1</v>
      </c>
      <c r="P9" s="7">
        <v>1</v>
      </c>
      <c r="Q9">
        <v>1</v>
      </c>
      <c r="R9">
        <v>1</v>
      </c>
      <c r="S9">
        <v>1</v>
      </c>
      <c r="T9">
        <v>0.5</v>
      </c>
      <c r="U9">
        <v>1</v>
      </c>
      <c r="V9">
        <v>1</v>
      </c>
      <c r="W9">
        <v>0.5</v>
      </c>
      <c r="X9">
        <v>1</v>
      </c>
      <c r="Y9">
        <v>1</v>
      </c>
      <c r="Z9">
        <f t="shared" si="1"/>
        <v>9</v>
      </c>
      <c r="AA9" s="9">
        <v>32.26</v>
      </c>
    </row>
    <row r="10" spans="1:27" x14ac:dyDescent="0.25">
      <c r="A10">
        <v>8</v>
      </c>
      <c r="B10" t="s">
        <v>42</v>
      </c>
      <c r="C10" s="7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f t="shared" si="0"/>
        <v>9</v>
      </c>
      <c r="N10" s="8">
        <v>38.200000000000003</v>
      </c>
      <c r="P10" s="7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0.5</v>
      </c>
      <c r="X10">
        <v>1</v>
      </c>
      <c r="Y10">
        <v>1</v>
      </c>
      <c r="Z10">
        <f t="shared" si="1"/>
        <v>9.5</v>
      </c>
      <c r="AA10" s="9">
        <v>25.52</v>
      </c>
    </row>
    <row r="11" spans="1:27" x14ac:dyDescent="0.25">
      <c r="A11">
        <v>9</v>
      </c>
      <c r="B11" t="s">
        <v>43</v>
      </c>
      <c r="C11" s="7">
        <v>1</v>
      </c>
      <c r="D11">
        <v>1</v>
      </c>
      <c r="E11">
        <v>0.5</v>
      </c>
      <c r="F11">
        <v>1</v>
      </c>
      <c r="G11">
        <v>0</v>
      </c>
      <c r="H11">
        <v>0.8</v>
      </c>
      <c r="I11">
        <v>1</v>
      </c>
      <c r="J11">
        <v>0.5</v>
      </c>
      <c r="K11">
        <v>1</v>
      </c>
      <c r="L11">
        <v>1</v>
      </c>
      <c r="M11">
        <f t="shared" si="0"/>
        <v>7.8</v>
      </c>
      <c r="N11" s="8">
        <v>16.23</v>
      </c>
      <c r="P11" s="7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0.5</v>
      </c>
      <c r="W11">
        <v>0.5</v>
      </c>
      <c r="X11">
        <v>1</v>
      </c>
      <c r="Y11">
        <v>1</v>
      </c>
      <c r="Z11">
        <f t="shared" si="1"/>
        <v>8</v>
      </c>
      <c r="AA11" s="9">
        <v>22.2</v>
      </c>
    </row>
    <row r="12" spans="1:27" x14ac:dyDescent="0.25">
      <c r="A12">
        <v>10</v>
      </c>
      <c r="B12" t="s">
        <v>44</v>
      </c>
      <c r="C12" s="7">
        <v>0</v>
      </c>
      <c r="D12">
        <v>1</v>
      </c>
      <c r="E12">
        <v>0.5</v>
      </c>
      <c r="F12">
        <v>0</v>
      </c>
      <c r="G12">
        <v>0</v>
      </c>
      <c r="H12">
        <v>0.5</v>
      </c>
      <c r="I12">
        <v>0.5</v>
      </c>
      <c r="J12">
        <v>0.5</v>
      </c>
      <c r="K12">
        <v>1</v>
      </c>
      <c r="L12">
        <v>1</v>
      </c>
      <c r="M12">
        <f t="shared" si="0"/>
        <v>5</v>
      </c>
      <c r="N12" s="8">
        <v>46.22</v>
      </c>
      <c r="P12" s="7">
        <v>1</v>
      </c>
      <c r="Q12">
        <v>1</v>
      </c>
      <c r="R12">
        <v>1</v>
      </c>
      <c r="S12">
        <v>1</v>
      </c>
      <c r="T12">
        <v>0.5</v>
      </c>
      <c r="U12">
        <v>0.25</v>
      </c>
      <c r="V12">
        <v>0.5</v>
      </c>
      <c r="W12">
        <v>0.5</v>
      </c>
      <c r="X12">
        <v>1</v>
      </c>
      <c r="Y12">
        <v>1</v>
      </c>
      <c r="Z12">
        <f t="shared" si="1"/>
        <v>7.75</v>
      </c>
      <c r="AA12" s="9">
        <v>31.18</v>
      </c>
    </row>
    <row r="13" spans="1:27" x14ac:dyDescent="0.25">
      <c r="A13">
        <v>11</v>
      </c>
      <c r="B13" t="s">
        <v>45</v>
      </c>
      <c r="C13" s="7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0.2</v>
      </c>
      <c r="K13">
        <v>1</v>
      </c>
      <c r="L13">
        <v>1</v>
      </c>
      <c r="M13">
        <f t="shared" si="0"/>
        <v>8.1999999999999993</v>
      </c>
      <c r="N13" s="8">
        <v>55.54</v>
      </c>
      <c r="P13" s="7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0.5</v>
      </c>
      <c r="X13">
        <v>1</v>
      </c>
      <c r="Y13">
        <v>1</v>
      </c>
      <c r="Z13">
        <f t="shared" si="1"/>
        <v>9.5</v>
      </c>
      <c r="AA13" s="9">
        <v>26.09</v>
      </c>
    </row>
    <row r="14" spans="1:27" x14ac:dyDescent="0.25">
      <c r="A14">
        <v>12</v>
      </c>
      <c r="B14" t="s">
        <v>46</v>
      </c>
      <c r="C14" s="7">
        <v>1</v>
      </c>
      <c r="D14">
        <v>1</v>
      </c>
      <c r="E14">
        <v>0.5</v>
      </c>
      <c r="F14">
        <v>1</v>
      </c>
      <c r="G14">
        <v>1</v>
      </c>
      <c r="H14">
        <v>0.4</v>
      </c>
      <c r="I14">
        <v>0.5</v>
      </c>
      <c r="J14">
        <v>0</v>
      </c>
      <c r="K14">
        <v>1</v>
      </c>
      <c r="L14">
        <v>1</v>
      </c>
      <c r="M14">
        <f t="shared" si="0"/>
        <v>7.4</v>
      </c>
      <c r="N14" s="8">
        <v>57.24</v>
      </c>
      <c r="P14" s="7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</v>
      </c>
      <c r="X14">
        <v>1</v>
      </c>
      <c r="Y14">
        <v>1</v>
      </c>
      <c r="Z14">
        <f t="shared" si="1"/>
        <v>7</v>
      </c>
      <c r="AA14" s="9">
        <v>11.14</v>
      </c>
    </row>
    <row r="15" spans="1:27" x14ac:dyDescent="0.25">
      <c r="A15">
        <v>13</v>
      </c>
      <c r="B15" t="s">
        <v>47</v>
      </c>
      <c r="C15" s="7">
        <v>1</v>
      </c>
      <c r="D15">
        <v>0</v>
      </c>
      <c r="E15">
        <v>0.5</v>
      </c>
      <c r="F15">
        <v>0</v>
      </c>
      <c r="G15">
        <v>0</v>
      </c>
      <c r="H15">
        <v>0.3</v>
      </c>
      <c r="I15">
        <v>0.5</v>
      </c>
      <c r="J15">
        <v>0</v>
      </c>
      <c r="K15">
        <v>1</v>
      </c>
      <c r="L15">
        <v>0</v>
      </c>
      <c r="M15">
        <f t="shared" si="0"/>
        <v>3.3</v>
      </c>
      <c r="N15" s="8">
        <v>15.11</v>
      </c>
      <c r="P15" s="7">
        <v>1</v>
      </c>
      <c r="Q15">
        <v>1</v>
      </c>
      <c r="R15">
        <v>1</v>
      </c>
      <c r="S15">
        <v>0</v>
      </c>
      <c r="T15">
        <v>0.5</v>
      </c>
      <c r="U15">
        <v>0.5</v>
      </c>
      <c r="V15">
        <v>1</v>
      </c>
      <c r="W15">
        <v>0</v>
      </c>
      <c r="X15">
        <v>1</v>
      </c>
      <c r="Y15">
        <v>1</v>
      </c>
      <c r="Z15">
        <f t="shared" si="1"/>
        <v>7</v>
      </c>
      <c r="AA15" s="9">
        <v>10.36</v>
      </c>
    </row>
    <row r="16" spans="1:27" x14ac:dyDescent="0.25">
      <c r="A16">
        <v>14</v>
      </c>
      <c r="B16" t="s">
        <v>48</v>
      </c>
      <c r="C16" s="7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f t="shared" si="0"/>
        <v>10</v>
      </c>
      <c r="N16" s="8">
        <v>22.35</v>
      </c>
      <c r="P16" s="7">
        <v>1</v>
      </c>
      <c r="Q16">
        <v>1</v>
      </c>
      <c r="R16">
        <v>1</v>
      </c>
      <c r="S16">
        <v>1</v>
      </c>
      <c r="T16">
        <v>0.5</v>
      </c>
      <c r="U16">
        <v>1</v>
      </c>
      <c r="V16">
        <v>1</v>
      </c>
      <c r="W16">
        <v>1</v>
      </c>
      <c r="X16">
        <v>1</v>
      </c>
      <c r="Y16">
        <v>1</v>
      </c>
      <c r="Z16">
        <f t="shared" si="1"/>
        <v>9.5</v>
      </c>
      <c r="AA16" s="9">
        <v>23.13</v>
      </c>
    </row>
    <row r="17" spans="1:27" x14ac:dyDescent="0.25">
      <c r="A17">
        <v>15</v>
      </c>
      <c r="B17" t="s">
        <v>49</v>
      </c>
      <c r="C17" s="7">
        <v>1</v>
      </c>
      <c r="D17">
        <v>0</v>
      </c>
      <c r="E17">
        <v>0.5</v>
      </c>
      <c r="F17">
        <v>1</v>
      </c>
      <c r="G17">
        <v>0</v>
      </c>
      <c r="H17">
        <v>1</v>
      </c>
      <c r="I17">
        <v>1</v>
      </c>
      <c r="J17">
        <v>0.75</v>
      </c>
      <c r="K17">
        <v>1</v>
      </c>
      <c r="L17">
        <v>1</v>
      </c>
      <c r="M17">
        <f t="shared" si="0"/>
        <v>7.25</v>
      </c>
      <c r="N17" s="8">
        <v>29.08</v>
      </c>
      <c r="P17" s="7">
        <v>1</v>
      </c>
      <c r="Q17">
        <v>1</v>
      </c>
      <c r="R17">
        <v>1</v>
      </c>
      <c r="S17">
        <v>1</v>
      </c>
      <c r="T17">
        <v>0.5</v>
      </c>
      <c r="U17">
        <v>1</v>
      </c>
      <c r="V17">
        <v>1</v>
      </c>
      <c r="W17">
        <v>1</v>
      </c>
      <c r="X17">
        <v>1</v>
      </c>
      <c r="Y17">
        <v>1</v>
      </c>
      <c r="Z17">
        <f t="shared" si="1"/>
        <v>9.5</v>
      </c>
      <c r="AA17" s="9">
        <v>21.47</v>
      </c>
    </row>
    <row r="18" spans="1:27" x14ac:dyDescent="0.25">
      <c r="A18">
        <v>16</v>
      </c>
      <c r="B18" t="s">
        <v>50</v>
      </c>
      <c r="C18" s="7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0.5</v>
      </c>
      <c r="J18">
        <v>0.5</v>
      </c>
      <c r="K18">
        <v>1</v>
      </c>
      <c r="L18">
        <v>1</v>
      </c>
      <c r="M18">
        <f t="shared" si="0"/>
        <v>9</v>
      </c>
      <c r="N18" s="8">
        <v>38.57</v>
      </c>
      <c r="P18" s="7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f t="shared" si="1"/>
        <v>8</v>
      </c>
      <c r="AA18" s="9">
        <v>17.510000000000002</v>
      </c>
    </row>
    <row r="19" spans="1:27" x14ac:dyDescent="0.25">
      <c r="A19">
        <v>17</v>
      </c>
      <c r="B19" t="s">
        <v>51</v>
      </c>
      <c r="C19" s="7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f t="shared" si="0"/>
        <v>9</v>
      </c>
      <c r="N19" s="8">
        <v>44.32</v>
      </c>
      <c r="P19" s="7">
        <v>1</v>
      </c>
      <c r="Q19">
        <v>1</v>
      </c>
      <c r="R19">
        <v>1</v>
      </c>
      <c r="S19">
        <v>1</v>
      </c>
      <c r="T19">
        <v>0.5</v>
      </c>
      <c r="U19">
        <v>1</v>
      </c>
      <c r="V19">
        <v>1</v>
      </c>
      <c r="W19">
        <v>1</v>
      </c>
      <c r="X19">
        <v>1</v>
      </c>
      <c r="Y19">
        <v>1</v>
      </c>
      <c r="Z19">
        <f t="shared" si="1"/>
        <v>9.5</v>
      </c>
      <c r="AA19" s="9">
        <v>21.56</v>
      </c>
    </row>
    <row r="20" spans="1:27" x14ac:dyDescent="0.25">
      <c r="A20">
        <v>18</v>
      </c>
      <c r="B20" t="s">
        <v>52</v>
      </c>
      <c r="C20" s="7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f t="shared" si="0"/>
        <v>10</v>
      </c>
      <c r="N20" s="8">
        <v>49.53</v>
      </c>
      <c r="P20" s="7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f t="shared" si="1"/>
        <v>9</v>
      </c>
      <c r="AA20" s="9">
        <v>24.43</v>
      </c>
    </row>
    <row r="21" spans="1:27" x14ac:dyDescent="0.25">
      <c r="A21">
        <v>19</v>
      </c>
      <c r="B21" t="s">
        <v>53</v>
      </c>
      <c r="C21" s="7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0.5</v>
      </c>
      <c r="K21">
        <v>1</v>
      </c>
      <c r="L21">
        <v>1</v>
      </c>
      <c r="M21">
        <f t="shared" si="0"/>
        <v>8.5</v>
      </c>
      <c r="N21" s="8">
        <v>51.5</v>
      </c>
      <c r="P21" s="7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0.5</v>
      </c>
      <c r="X21">
        <v>1</v>
      </c>
      <c r="Y21">
        <v>1</v>
      </c>
      <c r="Z21">
        <f t="shared" si="1"/>
        <v>9.5</v>
      </c>
      <c r="AA21" s="9">
        <v>38.549999999999997</v>
      </c>
    </row>
    <row r="22" spans="1:27" x14ac:dyDescent="0.25">
      <c r="A22">
        <v>20</v>
      </c>
      <c r="B22" t="s">
        <v>54</v>
      </c>
      <c r="C22" s="7">
        <v>1</v>
      </c>
      <c r="D22">
        <v>0</v>
      </c>
      <c r="E22">
        <v>1</v>
      </c>
      <c r="F22">
        <v>1</v>
      </c>
      <c r="G22">
        <v>1</v>
      </c>
      <c r="H22">
        <v>0.3</v>
      </c>
      <c r="I22">
        <v>1</v>
      </c>
      <c r="J22">
        <v>0</v>
      </c>
      <c r="K22">
        <v>1</v>
      </c>
      <c r="L22">
        <v>0</v>
      </c>
      <c r="M22">
        <f t="shared" si="0"/>
        <v>6.3</v>
      </c>
      <c r="N22" s="8">
        <v>59.59</v>
      </c>
      <c r="P22" s="7">
        <v>1</v>
      </c>
      <c r="Q22">
        <v>1</v>
      </c>
      <c r="R22">
        <v>0.5</v>
      </c>
      <c r="S22">
        <v>0</v>
      </c>
      <c r="T22">
        <v>0.5</v>
      </c>
      <c r="U22">
        <v>0.6</v>
      </c>
      <c r="V22">
        <v>1</v>
      </c>
      <c r="W22">
        <v>0.5</v>
      </c>
      <c r="X22">
        <v>1</v>
      </c>
      <c r="Y22">
        <v>0.5</v>
      </c>
      <c r="Z22">
        <f t="shared" si="1"/>
        <v>6.6</v>
      </c>
      <c r="AA22" s="9">
        <v>38.020000000000003</v>
      </c>
    </row>
    <row r="23" spans="1:27" x14ac:dyDescent="0.25">
      <c r="A23">
        <v>21</v>
      </c>
      <c r="B23" t="s">
        <v>55</v>
      </c>
      <c r="C23" s="7">
        <v>1</v>
      </c>
      <c r="D23">
        <v>1</v>
      </c>
      <c r="E23">
        <v>1</v>
      </c>
      <c r="F23">
        <v>1</v>
      </c>
      <c r="G23">
        <v>1</v>
      </c>
      <c r="H23">
        <v>0.6</v>
      </c>
      <c r="I23">
        <v>1</v>
      </c>
      <c r="J23">
        <v>1</v>
      </c>
      <c r="K23">
        <v>1</v>
      </c>
      <c r="L23">
        <v>1</v>
      </c>
      <c r="M23">
        <f t="shared" si="0"/>
        <v>9.6</v>
      </c>
      <c r="N23" s="8">
        <v>59.04</v>
      </c>
      <c r="P23" s="7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1</v>
      </c>
      <c r="W23">
        <v>0.5</v>
      </c>
      <c r="X23">
        <v>1</v>
      </c>
      <c r="Y23">
        <v>0.5</v>
      </c>
      <c r="Z23">
        <f t="shared" si="1"/>
        <v>8.5</v>
      </c>
      <c r="AA23" s="9">
        <v>37.15</v>
      </c>
    </row>
    <row r="24" spans="1:27" x14ac:dyDescent="0.25">
      <c r="A24">
        <v>22</v>
      </c>
      <c r="B24" t="s">
        <v>56</v>
      </c>
      <c r="C24" s="7">
        <v>1</v>
      </c>
      <c r="D24">
        <v>1</v>
      </c>
      <c r="E24">
        <v>1</v>
      </c>
      <c r="F24">
        <v>1</v>
      </c>
      <c r="G24">
        <v>0</v>
      </c>
      <c r="H24">
        <v>0.5</v>
      </c>
      <c r="I24">
        <v>1</v>
      </c>
      <c r="J24">
        <v>1</v>
      </c>
      <c r="K24">
        <v>1</v>
      </c>
      <c r="L24">
        <v>1</v>
      </c>
      <c r="M24">
        <f t="shared" si="0"/>
        <v>8.5</v>
      </c>
      <c r="N24" s="8">
        <v>57.31</v>
      </c>
      <c r="P24" s="7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f t="shared" si="1"/>
        <v>9</v>
      </c>
      <c r="AA24" s="9">
        <v>46.1</v>
      </c>
    </row>
    <row r="25" spans="1:27" x14ac:dyDescent="0.25">
      <c r="A25">
        <v>23</v>
      </c>
      <c r="B25" t="s">
        <v>57</v>
      </c>
      <c r="C25" s="7">
        <v>1</v>
      </c>
      <c r="D25">
        <v>0</v>
      </c>
      <c r="E25">
        <v>0.5</v>
      </c>
      <c r="F25">
        <v>1</v>
      </c>
      <c r="G25">
        <v>0</v>
      </c>
      <c r="H25">
        <v>0.5</v>
      </c>
      <c r="I25">
        <v>0.5</v>
      </c>
      <c r="J25">
        <v>0.5</v>
      </c>
      <c r="K25">
        <v>1</v>
      </c>
      <c r="L25">
        <v>0</v>
      </c>
      <c r="M25">
        <f t="shared" si="0"/>
        <v>5</v>
      </c>
      <c r="N25" s="8">
        <v>44.55</v>
      </c>
      <c r="P25" s="7">
        <v>1</v>
      </c>
      <c r="Q25">
        <v>1</v>
      </c>
      <c r="R25">
        <v>1</v>
      </c>
      <c r="S25">
        <v>1</v>
      </c>
      <c r="T25">
        <v>1</v>
      </c>
      <c r="U25">
        <v>0.25</v>
      </c>
      <c r="V25">
        <v>0.5</v>
      </c>
      <c r="W25">
        <v>1</v>
      </c>
      <c r="X25">
        <v>1</v>
      </c>
      <c r="Y25">
        <v>1</v>
      </c>
      <c r="Z25">
        <f t="shared" si="1"/>
        <v>8.75</v>
      </c>
      <c r="AA25" s="9">
        <v>38.39</v>
      </c>
    </row>
    <row r="26" spans="1:27" x14ac:dyDescent="0.25">
      <c r="A26">
        <v>24</v>
      </c>
      <c r="B26" t="s">
        <v>58</v>
      </c>
      <c r="C26" s="7">
        <v>1</v>
      </c>
      <c r="D26">
        <v>0</v>
      </c>
      <c r="E26">
        <v>0.5</v>
      </c>
      <c r="F26">
        <v>1</v>
      </c>
      <c r="G26">
        <v>0</v>
      </c>
      <c r="H26">
        <v>0.5</v>
      </c>
      <c r="I26">
        <v>0</v>
      </c>
      <c r="J26">
        <v>1</v>
      </c>
      <c r="K26">
        <v>0</v>
      </c>
      <c r="L26">
        <v>0</v>
      </c>
      <c r="M26">
        <f t="shared" si="0"/>
        <v>4</v>
      </c>
      <c r="N26" s="8">
        <v>60.02</v>
      </c>
      <c r="P26" s="7">
        <v>1</v>
      </c>
      <c r="Q26">
        <v>1</v>
      </c>
      <c r="R26">
        <v>1</v>
      </c>
      <c r="S26">
        <v>1</v>
      </c>
      <c r="T26">
        <v>0</v>
      </c>
      <c r="U26">
        <v>0.6</v>
      </c>
      <c r="V26">
        <v>0.5</v>
      </c>
      <c r="W26">
        <v>1</v>
      </c>
      <c r="X26">
        <v>1</v>
      </c>
      <c r="Y26">
        <v>0.6</v>
      </c>
      <c r="Z26">
        <f t="shared" si="1"/>
        <v>7.6999999999999993</v>
      </c>
      <c r="AA26" s="9">
        <v>45.28</v>
      </c>
    </row>
    <row r="27" spans="1:27" x14ac:dyDescent="0.25">
      <c r="A27">
        <v>25</v>
      </c>
      <c r="B27" t="s">
        <v>59</v>
      </c>
      <c r="C27" s="7">
        <v>1</v>
      </c>
      <c r="D27">
        <v>1</v>
      </c>
      <c r="E27">
        <v>1</v>
      </c>
      <c r="F27">
        <v>1</v>
      </c>
      <c r="G27">
        <v>0</v>
      </c>
      <c r="H27">
        <v>0.6</v>
      </c>
      <c r="I27">
        <v>1</v>
      </c>
      <c r="J27">
        <v>1</v>
      </c>
      <c r="K27">
        <v>1</v>
      </c>
      <c r="L27">
        <v>1</v>
      </c>
      <c r="M27">
        <f t="shared" si="0"/>
        <v>8.6</v>
      </c>
      <c r="N27" s="8">
        <v>57</v>
      </c>
      <c r="P27" s="7">
        <v>1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f t="shared" si="1"/>
        <v>9</v>
      </c>
      <c r="AA27" s="9">
        <v>45.01</v>
      </c>
    </row>
    <row r="28" spans="1:27" ht="15.75" thickBot="1" x14ac:dyDescent="0.3">
      <c r="A28">
        <v>26</v>
      </c>
      <c r="B28" t="s">
        <v>60</v>
      </c>
      <c r="C28" s="10">
        <v>1</v>
      </c>
      <c r="D28" s="11">
        <v>0</v>
      </c>
      <c r="E28" s="11">
        <v>1</v>
      </c>
      <c r="F28" s="11">
        <v>1</v>
      </c>
      <c r="G28" s="11">
        <v>1</v>
      </c>
      <c r="H28" s="11">
        <v>0.6</v>
      </c>
      <c r="I28" s="11">
        <v>1</v>
      </c>
      <c r="J28" s="11">
        <v>1</v>
      </c>
      <c r="K28" s="11">
        <v>1</v>
      </c>
      <c r="L28" s="11">
        <v>1</v>
      </c>
      <c r="M28" s="11">
        <f t="shared" si="0"/>
        <v>8.6</v>
      </c>
      <c r="N28" s="12">
        <v>58.01</v>
      </c>
      <c r="P28" s="10">
        <v>1</v>
      </c>
      <c r="Q28" s="11">
        <v>1</v>
      </c>
      <c r="R28" s="11">
        <v>1</v>
      </c>
      <c r="S28" s="11">
        <v>1</v>
      </c>
      <c r="T28" s="11">
        <v>0.5</v>
      </c>
      <c r="U28" s="11">
        <v>0.6</v>
      </c>
      <c r="V28" s="11">
        <v>1</v>
      </c>
      <c r="W28" s="11">
        <v>0.5</v>
      </c>
      <c r="X28" s="11">
        <v>1</v>
      </c>
      <c r="Y28" s="11">
        <v>1</v>
      </c>
      <c r="Z28" s="11">
        <f t="shared" si="1"/>
        <v>8.6</v>
      </c>
      <c r="AA28" s="13">
        <v>44.31</v>
      </c>
    </row>
    <row r="30" spans="1:27" x14ac:dyDescent="0.25">
      <c r="B30" t="s">
        <v>61</v>
      </c>
      <c r="N30" s="2">
        <f>SUM(N3:N28)</f>
        <v>1192.5500000000002</v>
      </c>
      <c r="AA30">
        <f>SUM(AA3:AA28)</f>
        <v>844.6099999999999</v>
      </c>
    </row>
    <row r="31" spans="1:27" x14ac:dyDescent="0.25">
      <c r="B31" t="s">
        <v>62</v>
      </c>
      <c r="N31" s="2">
        <f>AVERAGE(N3:N28)</f>
        <v>45.867307692307698</v>
      </c>
      <c r="AA31" s="2">
        <f>AVERAGE(AA3:AA28)</f>
        <v>32.484999999999999</v>
      </c>
    </row>
    <row r="32" spans="1:27" x14ac:dyDescent="0.25">
      <c r="B32" t="s">
        <v>63</v>
      </c>
      <c r="AA32" s="3">
        <f>100*(N31-AA31)/N31</f>
        <v>29.176135172529463</v>
      </c>
    </row>
    <row r="34" spans="2:26" x14ac:dyDescent="0.25">
      <c r="B34" t="s">
        <v>64</v>
      </c>
      <c r="C34">
        <f t="shared" ref="C34:L34" si="2">AVERAGE(C3:C28)</f>
        <v>0.88461538461538458</v>
      </c>
      <c r="D34">
        <f t="shared" si="2"/>
        <v>0.76923076923076927</v>
      </c>
      <c r="E34">
        <f t="shared" si="2"/>
        <v>0.82692307692307687</v>
      </c>
      <c r="F34">
        <f t="shared" si="2"/>
        <v>0.84615384615384615</v>
      </c>
      <c r="G34">
        <f t="shared" si="2"/>
        <v>0.53846153846153844</v>
      </c>
      <c r="H34">
        <f t="shared" si="2"/>
        <v>0.72692307692307712</v>
      </c>
      <c r="I34">
        <f t="shared" si="2"/>
        <v>0.80769230769230771</v>
      </c>
      <c r="J34">
        <f t="shared" si="2"/>
        <v>0.70961538461538454</v>
      </c>
      <c r="K34">
        <f t="shared" si="2"/>
        <v>0.96153846153846156</v>
      </c>
      <c r="L34">
        <f t="shared" si="2"/>
        <v>0.80769230769230771</v>
      </c>
      <c r="P34">
        <f t="shared" ref="P34:Y34" si="3">AVERAGE(P3:P28)</f>
        <v>1</v>
      </c>
      <c r="Q34">
        <f t="shared" si="3"/>
        <v>1</v>
      </c>
      <c r="R34">
        <f t="shared" si="3"/>
        <v>0.92307692307692313</v>
      </c>
      <c r="S34">
        <f t="shared" si="3"/>
        <v>0.88461538461538458</v>
      </c>
      <c r="T34">
        <f t="shared" si="3"/>
        <v>0.61538461538461542</v>
      </c>
      <c r="U34">
        <f t="shared" si="3"/>
        <v>0.7153846153846154</v>
      </c>
      <c r="V34">
        <f t="shared" si="3"/>
        <v>0.84615384615384615</v>
      </c>
      <c r="W34">
        <f t="shared" si="3"/>
        <v>0.73076923076923073</v>
      </c>
      <c r="X34">
        <f t="shared" si="3"/>
        <v>1</v>
      </c>
      <c r="Y34">
        <f t="shared" si="3"/>
        <v>0.94615384615384623</v>
      </c>
    </row>
    <row r="35" spans="2:26" x14ac:dyDescent="0.25">
      <c r="B35" t="s">
        <v>70</v>
      </c>
      <c r="M35">
        <f>AVERAGE(M3:M28)</f>
        <v>7.8788461538461538</v>
      </c>
      <c r="Z35">
        <f>AVERAGE(Z3:Z28)</f>
        <v>8.661538461538461</v>
      </c>
    </row>
    <row r="36" spans="2:26" x14ac:dyDescent="0.25">
      <c r="B36" t="s">
        <v>65</v>
      </c>
      <c r="P36">
        <f t="shared" ref="P36:Y36" si="4">P34-C34</f>
        <v>0.11538461538461542</v>
      </c>
      <c r="Q36">
        <f t="shared" si="4"/>
        <v>0.23076923076923073</v>
      </c>
      <c r="R36">
        <f t="shared" si="4"/>
        <v>9.6153846153846256E-2</v>
      </c>
      <c r="S36">
        <f t="shared" si="4"/>
        <v>3.8461538461538436E-2</v>
      </c>
      <c r="T36">
        <f t="shared" si="4"/>
        <v>7.6923076923076983E-2</v>
      </c>
      <c r="U36" s="1">
        <f t="shared" si="4"/>
        <v>-1.153846153846172E-2</v>
      </c>
      <c r="V36">
        <f t="shared" si="4"/>
        <v>3.8461538461538436E-2</v>
      </c>
      <c r="W36">
        <f t="shared" si="4"/>
        <v>2.115384615384619E-2</v>
      </c>
      <c r="X36">
        <f t="shared" si="4"/>
        <v>3.8461538461538436E-2</v>
      </c>
      <c r="Y36">
        <f t="shared" si="4"/>
        <v>0.13846153846153852</v>
      </c>
    </row>
    <row r="38" spans="2:26" x14ac:dyDescent="0.25">
      <c r="B38" t="s">
        <v>71</v>
      </c>
      <c r="Z38" s="3">
        <f>100*(Z35-M35)/Z35</f>
        <v>9.0364120781527468</v>
      </c>
    </row>
  </sheetData>
  <mergeCells count="2">
    <mergeCell ref="C1:N1"/>
    <mergeCell ref="P1:AA1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8CBA-92CC-4F4D-A7F4-8B59314E41D0}">
  <dimension ref="A1:N28"/>
  <sheetViews>
    <sheetView zoomScale="85" zoomScaleNormal="85" workbookViewId="0">
      <selection activeCell="H15" sqref="H15"/>
    </sheetView>
  </sheetViews>
  <sheetFormatPr defaultRowHeight="15" x14ac:dyDescent="0.25"/>
  <cols>
    <col min="2" max="2" width="34.5703125" bestFit="1" customWidth="1"/>
    <col min="3" max="3" width="24.5703125" customWidth="1"/>
    <col min="4" max="4" width="17.85546875" bestFit="1" customWidth="1"/>
    <col min="5" max="5" width="21.42578125" customWidth="1"/>
    <col min="6" max="6" width="20.5703125" bestFit="1" customWidth="1"/>
    <col min="7" max="7" width="11.7109375" bestFit="1" customWidth="1"/>
    <col min="8" max="8" width="12" customWidth="1"/>
    <col min="9" max="9" width="12.7109375" customWidth="1"/>
    <col min="10" max="10" width="13.42578125" customWidth="1"/>
    <col min="11" max="11" width="14.7109375" customWidth="1"/>
    <col min="14" max="14" width="11.7109375" customWidth="1"/>
  </cols>
  <sheetData>
    <row r="1" spans="1:14" x14ac:dyDescent="0.25">
      <c r="G1" s="21" t="s">
        <v>74</v>
      </c>
      <c r="H1" s="21"/>
      <c r="I1" s="21"/>
      <c r="J1" s="21"/>
      <c r="K1" s="21"/>
      <c r="L1" s="21"/>
      <c r="M1" s="21"/>
      <c r="N1" s="21"/>
    </row>
    <row r="2" spans="1:14" ht="60" x14ac:dyDescent="0.25">
      <c r="A2" s="5" t="s">
        <v>11</v>
      </c>
      <c r="B2" s="5" t="s">
        <v>34</v>
      </c>
      <c r="C2" s="5" t="s">
        <v>12</v>
      </c>
      <c r="D2" s="5" t="s">
        <v>14</v>
      </c>
      <c r="E2" s="5" t="s">
        <v>15</v>
      </c>
      <c r="F2" s="5" t="s">
        <v>28</v>
      </c>
      <c r="G2" s="14" t="s">
        <v>75</v>
      </c>
      <c r="H2" s="14" t="s">
        <v>80</v>
      </c>
      <c r="I2" s="14" t="s">
        <v>81</v>
      </c>
      <c r="J2" s="14" t="s">
        <v>76</v>
      </c>
      <c r="K2" s="14" t="s">
        <v>77</v>
      </c>
      <c r="L2" s="14" t="s">
        <v>78</v>
      </c>
      <c r="M2" s="14" t="s">
        <v>79</v>
      </c>
      <c r="N2" s="14" t="s">
        <v>82</v>
      </c>
    </row>
    <row r="3" spans="1:14" x14ac:dyDescent="0.25">
      <c r="A3">
        <v>1</v>
      </c>
      <c r="B3" t="s">
        <v>35</v>
      </c>
      <c r="C3" t="s">
        <v>13</v>
      </c>
      <c r="D3">
        <v>3</v>
      </c>
      <c r="E3" t="s">
        <v>16</v>
      </c>
      <c r="F3" t="s">
        <v>29</v>
      </c>
      <c r="G3" t="s">
        <v>72</v>
      </c>
      <c r="H3" t="s">
        <v>73</v>
      </c>
      <c r="I3" t="s">
        <v>73</v>
      </c>
      <c r="J3" t="s">
        <v>72</v>
      </c>
      <c r="K3" t="s">
        <v>72</v>
      </c>
      <c r="L3" t="s">
        <v>72</v>
      </c>
      <c r="M3" t="s">
        <v>72</v>
      </c>
      <c r="N3" t="s">
        <v>73</v>
      </c>
    </row>
    <row r="4" spans="1:14" x14ac:dyDescent="0.25">
      <c r="A4">
        <v>2</v>
      </c>
      <c r="B4" t="s">
        <v>36</v>
      </c>
      <c r="C4" t="s">
        <v>13</v>
      </c>
      <c r="D4">
        <v>1</v>
      </c>
      <c r="E4" t="s">
        <v>17</v>
      </c>
      <c r="F4" t="s">
        <v>30</v>
      </c>
      <c r="G4" t="s">
        <v>73</v>
      </c>
      <c r="H4" t="s">
        <v>72</v>
      </c>
      <c r="I4" t="s">
        <v>73</v>
      </c>
      <c r="J4" t="s">
        <v>73</v>
      </c>
      <c r="K4" t="s">
        <v>73</v>
      </c>
      <c r="L4" t="s">
        <v>72</v>
      </c>
      <c r="M4" t="s">
        <v>72</v>
      </c>
      <c r="N4" t="s">
        <v>73</v>
      </c>
    </row>
    <row r="5" spans="1:14" x14ac:dyDescent="0.25">
      <c r="A5">
        <v>3</v>
      </c>
      <c r="B5" t="s">
        <v>37</v>
      </c>
      <c r="C5" t="s">
        <v>13</v>
      </c>
      <c r="D5">
        <v>4</v>
      </c>
      <c r="E5" t="s">
        <v>18</v>
      </c>
      <c r="F5" t="s">
        <v>30</v>
      </c>
      <c r="G5" t="s">
        <v>73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73</v>
      </c>
    </row>
    <row r="6" spans="1:14" x14ac:dyDescent="0.25">
      <c r="A6">
        <v>4</v>
      </c>
      <c r="B6" t="s">
        <v>38</v>
      </c>
      <c r="C6" t="s">
        <v>13</v>
      </c>
      <c r="D6">
        <v>1</v>
      </c>
      <c r="E6" t="s">
        <v>19</v>
      </c>
      <c r="F6" t="s">
        <v>30</v>
      </c>
      <c r="G6" t="s">
        <v>72</v>
      </c>
      <c r="H6" t="s">
        <v>72</v>
      </c>
      <c r="I6" t="s">
        <v>72</v>
      </c>
      <c r="J6" t="s">
        <v>73</v>
      </c>
      <c r="K6" t="s">
        <v>72</v>
      </c>
      <c r="L6" t="s">
        <v>72</v>
      </c>
      <c r="M6" t="s">
        <v>73</v>
      </c>
      <c r="N6" t="s">
        <v>72</v>
      </c>
    </row>
    <row r="7" spans="1:14" x14ac:dyDescent="0.25">
      <c r="A7">
        <v>5</v>
      </c>
      <c r="B7" t="s">
        <v>39</v>
      </c>
      <c r="C7" t="s">
        <v>13</v>
      </c>
      <c r="D7">
        <v>2</v>
      </c>
      <c r="E7" t="s">
        <v>20</v>
      </c>
      <c r="F7" t="s">
        <v>31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72</v>
      </c>
      <c r="M7" t="s">
        <v>73</v>
      </c>
      <c r="N7" t="s">
        <v>73</v>
      </c>
    </row>
    <row r="8" spans="1:14" x14ac:dyDescent="0.25">
      <c r="A8">
        <v>6</v>
      </c>
      <c r="B8" t="s">
        <v>40</v>
      </c>
      <c r="C8" t="s">
        <v>13</v>
      </c>
      <c r="D8">
        <v>0</v>
      </c>
      <c r="F8" t="s">
        <v>32</v>
      </c>
      <c r="G8" t="s">
        <v>73</v>
      </c>
      <c r="H8" t="s">
        <v>73</v>
      </c>
      <c r="I8" t="s">
        <v>73</v>
      </c>
      <c r="J8" t="s">
        <v>72</v>
      </c>
      <c r="K8" t="s">
        <v>73</v>
      </c>
      <c r="L8" t="s">
        <v>72</v>
      </c>
      <c r="M8" t="s">
        <v>72</v>
      </c>
      <c r="N8" t="s">
        <v>73</v>
      </c>
    </row>
    <row r="9" spans="1:14" x14ac:dyDescent="0.25">
      <c r="A9">
        <v>7</v>
      </c>
      <c r="B9" t="s">
        <v>41</v>
      </c>
      <c r="C9" t="s">
        <v>13</v>
      </c>
      <c r="D9">
        <v>7</v>
      </c>
      <c r="E9" t="s">
        <v>22</v>
      </c>
      <c r="F9" t="s">
        <v>30</v>
      </c>
      <c r="G9" t="s">
        <v>73</v>
      </c>
      <c r="H9" t="s">
        <v>72</v>
      </c>
      <c r="I9" t="s">
        <v>73</v>
      </c>
      <c r="J9" t="s">
        <v>72</v>
      </c>
      <c r="K9" t="s">
        <v>73</v>
      </c>
      <c r="L9" t="s">
        <v>72</v>
      </c>
      <c r="M9" t="s">
        <v>72</v>
      </c>
      <c r="N9" t="s">
        <v>73</v>
      </c>
    </row>
    <row r="10" spans="1:14" x14ac:dyDescent="0.25">
      <c r="A10">
        <v>8</v>
      </c>
      <c r="B10" t="s">
        <v>42</v>
      </c>
      <c r="C10" t="s">
        <v>13</v>
      </c>
      <c r="D10">
        <v>2</v>
      </c>
      <c r="E10" t="s">
        <v>16</v>
      </c>
      <c r="F10" t="s">
        <v>29</v>
      </c>
      <c r="G10" t="s">
        <v>73</v>
      </c>
      <c r="H10" t="s">
        <v>72</v>
      </c>
      <c r="I10" t="s">
        <v>73</v>
      </c>
      <c r="J10" t="s">
        <v>73</v>
      </c>
      <c r="K10" t="s">
        <v>72</v>
      </c>
      <c r="L10" t="s">
        <v>72</v>
      </c>
      <c r="M10" t="s">
        <v>72</v>
      </c>
      <c r="N10" t="s">
        <v>73</v>
      </c>
    </row>
    <row r="11" spans="1:14" x14ac:dyDescent="0.25">
      <c r="A11">
        <v>9</v>
      </c>
      <c r="B11" t="s">
        <v>43</v>
      </c>
      <c r="C11" t="s">
        <v>13</v>
      </c>
      <c r="D11">
        <v>0</v>
      </c>
      <c r="F11" t="s">
        <v>32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72</v>
      </c>
      <c r="M11" t="s">
        <v>73</v>
      </c>
      <c r="N11" t="s">
        <v>73</v>
      </c>
    </row>
    <row r="12" spans="1:14" x14ac:dyDescent="0.25">
      <c r="A12">
        <v>10</v>
      </c>
      <c r="B12" t="s">
        <v>44</v>
      </c>
      <c r="C12" t="s">
        <v>13</v>
      </c>
      <c r="D12">
        <v>1</v>
      </c>
      <c r="E12" t="s">
        <v>23</v>
      </c>
      <c r="F12" t="s">
        <v>31</v>
      </c>
      <c r="G12" t="s">
        <v>72</v>
      </c>
      <c r="H12" t="s">
        <v>73</v>
      </c>
      <c r="I12" t="s">
        <v>72</v>
      </c>
      <c r="J12" t="s">
        <v>73</v>
      </c>
      <c r="K12" t="s">
        <v>73</v>
      </c>
      <c r="L12" t="s">
        <v>72</v>
      </c>
      <c r="M12" t="s">
        <v>73</v>
      </c>
      <c r="N12" t="s">
        <v>73</v>
      </c>
    </row>
    <row r="13" spans="1:14" x14ac:dyDescent="0.25">
      <c r="A13">
        <v>11</v>
      </c>
      <c r="B13" t="s">
        <v>45</v>
      </c>
      <c r="C13" t="s">
        <v>13</v>
      </c>
      <c r="D13">
        <v>2</v>
      </c>
      <c r="E13" t="s">
        <v>24</v>
      </c>
      <c r="F13" t="s">
        <v>31</v>
      </c>
      <c r="G13" t="s">
        <v>72</v>
      </c>
      <c r="H13" t="s">
        <v>73</v>
      </c>
      <c r="I13" t="s">
        <v>73</v>
      </c>
      <c r="J13" t="s">
        <v>73</v>
      </c>
      <c r="K13" t="s">
        <v>73</v>
      </c>
      <c r="L13" t="s">
        <v>72</v>
      </c>
      <c r="M13" t="s">
        <v>72</v>
      </c>
      <c r="N13" t="s">
        <v>73</v>
      </c>
    </row>
    <row r="14" spans="1:14" x14ac:dyDescent="0.25">
      <c r="A14">
        <v>12</v>
      </c>
      <c r="B14" t="s">
        <v>46</v>
      </c>
      <c r="C14" t="s">
        <v>13</v>
      </c>
      <c r="D14">
        <v>1.5</v>
      </c>
      <c r="E14" t="s">
        <v>25</v>
      </c>
      <c r="F14" t="s">
        <v>31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72</v>
      </c>
      <c r="M14" t="s">
        <v>73</v>
      </c>
      <c r="N14" t="s">
        <v>73</v>
      </c>
    </row>
    <row r="15" spans="1:14" x14ac:dyDescent="0.25">
      <c r="A15">
        <v>13</v>
      </c>
      <c r="B15" t="s">
        <v>47</v>
      </c>
      <c r="C15" t="s">
        <v>13</v>
      </c>
      <c r="D15">
        <v>1</v>
      </c>
      <c r="E15" t="s">
        <v>21</v>
      </c>
      <c r="F15" t="s">
        <v>33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72</v>
      </c>
      <c r="M15" t="s">
        <v>73</v>
      </c>
      <c r="N15" t="s">
        <v>73</v>
      </c>
    </row>
    <row r="16" spans="1:14" x14ac:dyDescent="0.25">
      <c r="A16">
        <v>14</v>
      </c>
      <c r="B16" t="s">
        <v>48</v>
      </c>
      <c r="C16" t="s">
        <v>13</v>
      </c>
      <c r="D16">
        <v>0</v>
      </c>
      <c r="E16" t="s">
        <v>21</v>
      </c>
      <c r="F16" t="s">
        <v>32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72</v>
      </c>
      <c r="M16" t="s">
        <v>72</v>
      </c>
      <c r="N16" t="s">
        <v>73</v>
      </c>
    </row>
    <row r="17" spans="1:14" x14ac:dyDescent="0.25">
      <c r="A17">
        <v>15</v>
      </c>
      <c r="B17" t="s">
        <v>49</v>
      </c>
      <c r="C17" t="s">
        <v>13</v>
      </c>
      <c r="D17">
        <v>1.2</v>
      </c>
      <c r="E17" t="s">
        <v>24</v>
      </c>
      <c r="F17" t="s">
        <v>31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  <c r="L17" t="s">
        <v>72</v>
      </c>
      <c r="M17" t="s">
        <v>72</v>
      </c>
      <c r="N17" t="s">
        <v>73</v>
      </c>
    </row>
    <row r="18" spans="1:14" x14ac:dyDescent="0.25">
      <c r="A18">
        <v>16</v>
      </c>
      <c r="B18" t="s">
        <v>50</v>
      </c>
      <c r="C18" t="s">
        <v>13</v>
      </c>
      <c r="D18">
        <v>0</v>
      </c>
      <c r="F18" t="s">
        <v>32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  <c r="L18" t="s">
        <v>72</v>
      </c>
      <c r="M18" t="s">
        <v>72</v>
      </c>
      <c r="N18" t="s">
        <v>73</v>
      </c>
    </row>
    <row r="19" spans="1:14" x14ac:dyDescent="0.25">
      <c r="A19">
        <v>17</v>
      </c>
      <c r="B19" t="s">
        <v>51</v>
      </c>
      <c r="C19" t="s">
        <v>13</v>
      </c>
      <c r="D19">
        <v>2</v>
      </c>
      <c r="E19" t="s">
        <v>26</v>
      </c>
      <c r="F19" t="s">
        <v>30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72</v>
      </c>
      <c r="M19" t="s">
        <v>73</v>
      </c>
      <c r="N19" t="s">
        <v>73</v>
      </c>
    </row>
    <row r="20" spans="1:14" x14ac:dyDescent="0.25">
      <c r="A20">
        <v>18</v>
      </c>
      <c r="B20" t="s">
        <v>52</v>
      </c>
      <c r="C20" t="s">
        <v>13</v>
      </c>
      <c r="D20">
        <v>0</v>
      </c>
      <c r="F20" t="s">
        <v>32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72</v>
      </c>
      <c r="M20" t="s">
        <v>73</v>
      </c>
      <c r="N20" t="s">
        <v>73</v>
      </c>
    </row>
    <row r="21" spans="1:14" x14ac:dyDescent="0.25">
      <c r="A21">
        <v>19</v>
      </c>
      <c r="B21" t="s">
        <v>53</v>
      </c>
      <c r="C21" t="s">
        <v>13</v>
      </c>
      <c r="D21">
        <v>2</v>
      </c>
      <c r="E21" t="s">
        <v>27</v>
      </c>
      <c r="F21" t="s">
        <v>31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72</v>
      </c>
      <c r="M21" t="s">
        <v>73</v>
      </c>
      <c r="N21" t="s">
        <v>73</v>
      </c>
    </row>
    <row r="22" spans="1:14" x14ac:dyDescent="0.25">
      <c r="A22">
        <v>20</v>
      </c>
      <c r="B22" t="s">
        <v>54</v>
      </c>
      <c r="C22" t="s">
        <v>13</v>
      </c>
      <c r="D22">
        <v>0</v>
      </c>
      <c r="F22" t="s">
        <v>32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72</v>
      </c>
      <c r="M22" t="s">
        <v>73</v>
      </c>
      <c r="N22" t="s">
        <v>73</v>
      </c>
    </row>
    <row r="23" spans="1:14" x14ac:dyDescent="0.25">
      <c r="A23">
        <v>21</v>
      </c>
      <c r="B23" t="s">
        <v>55</v>
      </c>
      <c r="C23" t="s">
        <v>13</v>
      </c>
      <c r="D23">
        <v>0</v>
      </c>
      <c r="F23" t="s">
        <v>32</v>
      </c>
      <c r="G23" t="s">
        <v>73</v>
      </c>
      <c r="H23" t="s">
        <v>73</v>
      </c>
      <c r="I23" t="s">
        <v>73</v>
      </c>
      <c r="J23" t="s">
        <v>72</v>
      </c>
      <c r="K23" t="s">
        <v>72</v>
      </c>
      <c r="L23" t="s">
        <v>72</v>
      </c>
      <c r="M23" t="s">
        <v>72</v>
      </c>
      <c r="N23" t="s">
        <v>73</v>
      </c>
    </row>
    <row r="24" spans="1:14" x14ac:dyDescent="0.25">
      <c r="A24">
        <v>22</v>
      </c>
      <c r="B24" t="s">
        <v>56</v>
      </c>
      <c r="C24" t="s">
        <v>13</v>
      </c>
      <c r="D24">
        <v>0</v>
      </c>
      <c r="F24" t="s">
        <v>32</v>
      </c>
      <c r="G24" t="s">
        <v>72</v>
      </c>
      <c r="H24" t="s">
        <v>73</v>
      </c>
      <c r="I24" t="s">
        <v>73</v>
      </c>
      <c r="J24" t="s">
        <v>73</v>
      </c>
      <c r="K24" t="s">
        <v>73</v>
      </c>
      <c r="L24" t="s">
        <v>72</v>
      </c>
      <c r="M24" t="s">
        <v>72</v>
      </c>
      <c r="N24" t="s">
        <v>72</v>
      </c>
    </row>
    <row r="25" spans="1:14" x14ac:dyDescent="0.25">
      <c r="A25">
        <v>23</v>
      </c>
      <c r="B25" t="s">
        <v>57</v>
      </c>
      <c r="C25" t="s">
        <v>13</v>
      </c>
      <c r="D25">
        <v>3</v>
      </c>
      <c r="E25" t="s">
        <v>25</v>
      </c>
      <c r="F25" t="s">
        <v>31</v>
      </c>
      <c r="G25" t="s">
        <v>73</v>
      </c>
      <c r="H25" t="s">
        <v>73</v>
      </c>
      <c r="I25" t="s">
        <v>73</v>
      </c>
      <c r="J25" t="s">
        <v>73</v>
      </c>
      <c r="K25" t="s">
        <v>73</v>
      </c>
      <c r="L25" t="s">
        <v>72</v>
      </c>
      <c r="M25" t="s">
        <v>73</v>
      </c>
      <c r="N25" t="s">
        <v>73</v>
      </c>
    </row>
    <row r="26" spans="1:14" x14ac:dyDescent="0.25">
      <c r="A26">
        <v>24</v>
      </c>
      <c r="B26" t="s">
        <v>58</v>
      </c>
      <c r="C26" t="s">
        <v>13</v>
      </c>
      <c r="D26">
        <v>0.25</v>
      </c>
      <c r="E26" t="s">
        <v>25</v>
      </c>
      <c r="F26" t="s">
        <v>31</v>
      </c>
      <c r="G26" t="s">
        <v>73</v>
      </c>
      <c r="H26" t="s">
        <v>72</v>
      </c>
      <c r="I26" t="s">
        <v>73</v>
      </c>
      <c r="J26" t="s">
        <v>73</v>
      </c>
      <c r="K26" t="s">
        <v>73</v>
      </c>
      <c r="L26" t="s">
        <v>72</v>
      </c>
      <c r="M26" t="s">
        <v>73</v>
      </c>
      <c r="N26" t="s">
        <v>73</v>
      </c>
    </row>
    <row r="27" spans="1:14" x14ac:dyDescent="0.25">
      <c r="A27">
        <v>25</v>
      </c>
      <c r="B27" t="s">
        <v>59</v>
      </c>
      <c r="C27" t="s">
        <v>13</v>
      </c>
      <c r="D27">
        <v>3</v>
      </c>
      <c r="E27" t="s">
        <v>24</v>
      </c>
      <c r="F27" t="s">
        <v>31</v>
      </c>
      <c r="G27" t="s">
        <v>73</v>
      </c>
      <c r="H27" t="s">
        <v>72</v>
      </c>
      <c r="I27" t="s">
        <v>73</v>
      </c>
      <c r="J27" t="s">
        <v>73</v>
      </c>
      <c r="K27" t="s">
        <v>73</v>
      </c>
      <c r="L27" t="s">
        <v>72</v>
      </c>
      <c r="M27" t="s">
        <v>72</v>
      </c>
      <c r="N27" t="s">
        <v>73</v>
      </c>
    </row>
    <row r="28" spans="1:14" x14ac:dyDescent="0.25">
      <c r="A28">
        <v>26</v>
      </c>
      <c r="B28" t="s">
        <v>60</v>
      </c>
      <c r="C28" t="s">
        <v>13</v>
      </c>
      <c r="D28">
        <v>0</v>
      </c>
      <c r="F28" t="s">
        <v>32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72</v>
      </c>
      <c r="M28" t="s">
        <v>73</v>
      </c>
      <c r="N28" t="s">
        <v>73</v>
      </c>
    </row>
  </sheetData>
  <autoFilter ref="A2:N28" xr:uid="{B7A08CBA-92CC-4F4D-A7F4-8B59314E41D0}"/>
  <mergeCells count="1"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Sheet</vt:lpstr>
      <vt:lpstr>Demographics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Khade</dc:creator>
  <cp:lastModifiedBy>Chandan Kumar Sahu</cp:lastModifiedBy>
  <dcterms:created xsi:type="dcterms:W3CDTF">2024-11-21T15:21:09Z</dcterms:created>
  <dcterms:modified xsi:type="dcterms:W3CDTF">2026-01-11T05:45:25Z</dcterms:modified>
</cp:coreProperties>
</file>